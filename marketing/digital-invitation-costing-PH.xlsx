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ages" sheetId="1" state="visible" r:id="rId3"/>
    <sheet name="Inputs" sheetId="2" state="visible" r:id="rId4"/>
    <sheet name="Monthly Costs" sheetId="3" state="visible" r:id="rId5"/>
    <sheet name="Add-ons" sheetId="4" state="visible" r:id="rId6"/>
    <sheet name="Break-even" sheetId="5" state="visible" r:id="rId7"/>
    <sheet name="Mark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<sst xmlns="http://schemas.openxmlformats.org/spreadsheetml/2006/main" count="262" uniqueCount="208">
  <si>
    <t xml:space="preserve">Digital invitation packages: price &amp; cost per event (Philippines)</t>
  </si>
  <si>
    <t xml:space="preserve">Prices in blue are yours to set. Costs pull from Inputs and Monthly Costs.</t>
  </si>
  <si>
    <t xml:space="preserve">Basic</t>
  </si>
  <si>
    <t xml:space="preserve">Classic</t>
  </si>
  <si>
    <t xml:space="preserve">Signature</t>
  </si>
  <si>
    <t xml:space="preserve">Note</t>
  </si>
  <si>
    <t xml:space="preserve">Best for</t>
  </si>
  <si>
    <t xml:space="preserve">Simple parties, kids' birthdays</t>
  </si>
  <si>
    <t xml:space="preserve">Debuts, 18ths, sweet 16s (most popular)</t>
  </si>
  <si>
    <t xml:space="preserve">Weddings, big debuts</t>
  </si>
  <si>
    <t xml:space="preserve">Package price (₱)</t>
  </si>
  <si>
    <t xml:space="preserve">Positioned against PH market (₱800–₱5,997, see Market tab); more features than most at each tier.</t>
  </si>
  <si>
    <t xml:space="preserve">Includes custom domain (1 = yes)</t>
  </si>
  <si>
    <t xml:space="preserve">Your time per event (hours)</t>
  </si>
  <si>
    <t xml:space="preserve">Setup &amp; configuration</t>
  </si>
  <si>
    <t xml:space="preserve">Assumption: the template + new_event.py script does most setup; adjust after your first few clients.</t>
  </si>
  <si>
    <t xml:space="preserve">Design &amp; customisation</t>
  </si>
  <si>
    <t xml:space="preserve">Revisions</t>
  </si>
  <si>
    <t xml:space="preserve">Client chat &amp; guest support</t>
  </si>
  <si>
    <t xml:space="preserve">Testing &amp; launch</t>
  </si>
  <si>
    <t xml:space="preserve">Total hours</t>
  </si>
  <si>
    <t xml:space="preserve">Cost per event (₱)</t>
  </si>
  <si>
    <t xml:space="preserve">Your labour</t>
  </si>
  <si>
    <t xml:space="preserve">Hours × your labour rate</t>
  </si>
  <si>
    <t xml:space="preserve">Platform &amp; tools share</t>
  </si>
  <si>
    <t xml:space="preserve">Vercel + Supabase + tools ÷ events per month</t>
  </si>
  <si>
    <t xml:space="preserve">Ads share</t>
  </si>
  <si>
    <t xml:space="preserve">Monthly ads ÷ events per month</t>
  </si>
  <si>
    <t xml:space="preserve">Custom domain</t>
  </si>
  <si>
    <t xml:space="preserve">Signature only (1 year)</t>
  </si>
  <si>
    <t xml:space="preserve">Payment fee</t>
  </si>
  <si>
    <t xml:space="preserve">Price × payment fee %</t>
  </si>
  <si>
    <t xml:space="preserve">Income tax</t>
  </si>
  <si>
    <t xml:space="preserve">Price × 8% (conservative)</t>
  </si>
  <si>
    <t xml:space="preserve">Total cost per event</t>
  </si>
  <si>
    <t xml:space="preserve">Profit (₱)</t>
  </si>
  <si>
    <t xml:space="preserve">Business profit (after paying yourself)</t>
  </si>
  <si>
    <t xml:space="preserve">What the business keeps after your hourly pay</t>
  </si>
  <si>
    <t xml:space="preserve">Net margin</t>
  </si>
  <si>
    <t xml:space="preserve">Your take-home (profit + labour)</t>
  </si>
  <si>
    <t xml:space="preserve">If you do the work yourself, this is what you pocket</t>
  </si>
  <si>
    <t xml:space="preserve">Effective earnings per hour</t>
  </si>
  <si>
    <t xml:space="preserve">Take-home ÷ hours</t>
  </si>
  <si>
    <t xml:space="preserve">Cash cost (excluding your time)</t>
  </si>
  <si>
    <t xml:space="preserve">Money that actually leaves your pocket</t>
  </si>
  <si>
    <t xml:space="preserve">What's included</t>
  </si>
  <si>
    <t xml:space="preserve">Envelope that opens to the invitation card</t>
  </si>
  <si>
    <t xml:space="preserve">✓</t>
  </si>
  <si>
    <t xml:space="preserve">Live countdown + add-to-calendar (Google, Apple, Outlook)</t>
  </si>
  <si>
    <t xml:space="preserve">Map &amp; one-tap directions</t>
  </si>
  <si>
    <t xml:space="preserve">Online RSVP (names, emails, wishes)</t>
  </si>
  <si>
    <t xml:space="preserve">Private guest list for hosts (see who's coming)</t>
  </si>
  <si>
    <t xml:space="preserve">Email confirmations with calendar invite</t>
  </si>
  <si>
    <t xml:space="preserve">—</t>
  </si>
  <si>
    <t xml:space="preserve">Guest photo wall + all-photos page</t>
  </si>
  <si>
    <t xml:space="preserve">Theme: colours, fonts, wording</t>
  </si>
  <si>
    <t xml:space="preserve">Preset</t>
  </si>
  <si>
    <t xml:space="preserve">Custom</t>
  </si>
  <si>
    <t xml:space="preserve">Decorations / motifs redrawn for your theme</t>
  </si>
  <si>
    <t xml:space="preserve">Invitation card design</t>
  </si>
  <si>
    <t xml:space="preserve">Your own card</t>
  </si>
  <si>
    <t xml:space="preserve">Designed for you</t>
  </si>
  <si>
    <t xml:space="preserve">Web address</t>
  </si>
  <si>
    <t xml:space="preserve">yourname.vercel.app</t>
  </si>
  <si>
    <t xml:space="preserve">Custom .com (1 yr)</t>
  </si>
  <si>
    <t xml:space="preserve">Revision rounds</t>
  </si>
  <si>
    <t xml:space="preserve">1</t>
  </si>
  <si>
    <t xml:space="preserve">2</t>
  </si>
  <si>
    <t xml:space="preserve">3</t>
  </si>
  <si>
    <t xml:space="preserve">Turnaround</t>
  </si>
  <si>
    <t xml:space="preserve">3–5 days</t>
  </si>
  <si>
    <t xml:space="preserve">5–7 days</t>
  </si>
  <si>
    <t xml:space="preserve">Site stays online</t>
  </si>
  <si>
    <t xml:space="preserve">1 month after event</t>
  </si>
  <si>
    <t xml:space="preserve">3 months after event</t>
  </si>
  <si>
    <t xml:space="preserve">12 months after event</t>
  </si>
  <si>
    <t xml:space="preserve">Inputs &amp; assumptions (edit the blue cells)</t>
  </si>
  <si>
    <t xml:space="preserve">Blue = your inputs, yellow = the ones worth reviewing first. Everything else in the workbook recalculates from here.</t>
  </si>
  <si>
    <t xml:space="preserve">Assumption</t>
  </si>
  <si>
    <t xml:space="preserve">Value</t>
  </si>
  <si>
    <t xml:space="preserve">Unit</t>
  </si>
  <si>
    <t xml:space="preserve">Source / note</t>
  </si>
  <si>
    <t xml:space="preserve">Exchange rate</t>
  </si>
  <si>
    <t xml:space="preserve">₱ per US$</t>
  </si>
  <si>
    <t xml:space="preserve">Rate on 3 Aug 2026 was ₱60.92 (valutafx.com). Update to today's rate.</t>
  </si>
  <si>
    <t xml:space="preserve">Your labour rate</t>
  </si>
  <si>
    <t xml:space="preserve">₱ per hour</t>
  </si>
  <si>
    <t xml:space="preserve">Assumption: entry-level PH freelance web rate. Raise as you get faster/busier.</t>
  </si>
  <si>
    <t xml:space="preserve">Vercel Pro</t>
  </si>
  <si>
    <t xml:space="preserve">US$ per month</t>
  </si>
  <si>
    <t xml:space="preserve">Hosting for all sites + email function. Hobby (free) plan does not allow commercial use, so Pro is required (vercel.com pricing; makerkit.dev/blog/saas/vercel-cost).</t>
  </si>
  <si>
    <t xml:space="preserve">Supabase Pro</t>
  </si>
  <si>
    <t xml:space="preserve">Database + photo storage. Free tier: 2 projects, 1 GB storage, pauses after 1 week idle (makerkit.dev/blog/md/saas/supabase-pricing).</t>
  </si>
  <si>
    <t xml:space="preserve">Use Supabase Pro? (1 = yes, 0 = free tier)</t>
  </si>
  <si>
    <t xml:space="preserve">switch</t>
  </si>
  <si>
    <t xml:space="preserve">Start on the free tier (0) for your first few clients; switch to Pro (1) once photos pass ~1 GB or a site risks pausing. Assumes all events share one project (each event gets its own table and photo folder; the SQL files need the table name changed per event).</t>
  </si>
  <si>
    <t xml:space="preserve">Custom .com domain</t>
  </si>
  <si>
    <t xml:space="preserve">US$ per year</t>
  </si>
  <si>
    <t xml:space="preserve">Assumption: typical .com registration (Namecheap/Porkbun range). Only charged on Signature or as an add-on.</t>
  </si>
  <si>
    <t xml:space="preserve">Design tools (e.g. Canva Pro)</t>
  </si>
  <si>
    <t xml:space="preserve">₱ per month</t>
  </si>
  <si>
    <t xml:space="preserve">Optional. Set your actual subscription if you use one.</t>
  </si>
  <si>
    <t xml:space="preserve">Instagram / Facebook ads</t>
  </si>
  <si>
    <t xml:space="preserve">Assumption: ₱80/day boosted story or reel. Set 0 if you only post organically.</t>
  </si>
  <si>
    <t xml:space="preserve">% of price</t>
  </si>
  <si>
    <t xml:space="preserve">Assumption for GCash/Maya business QR or card. Use 0% for personal GCash/bank transfer.</t>
  </si>
  <si>
    <t xml:space="preserve">Income tax (8% option)</t>
  </si>
  <si>
    <t xml:space="preserve">BIR 8% optional rate on gross sales for self-employed (first ₱250,000/yr is exempt, so this is conservative). Confirm with BIR/an accountant; register your business first.</t>
  </si>
  <si>
    <t xml:space="preserve">Gmail for confirmation emails</t>
  </si>
  <si>
    <t xml:space="preserve">Free Gmail app password; ~500 emails/day limit is plenty per event.</t>
  </si>
  <si>
    <t xml:space="preserve">Expected events per month (package mix)</t>
  </si>
  <si>
    <t xml:space="preserve">Events</t>
  </si>
  <si>
    <t xml:space="preserve">Assumption: a realistic early month. Change it to see profit at your real volume.</t>
  </si>
  <si>
    <t xml:space="preserve">Total events per month</t>
  </si>
  <si>
    <t xml:space="preserve">Monthly running costs (₱)</t>
  </si>
  <si>
    <t xml:space="preserve">Cost</t>
  </si>
  <si>
    <t xml:space="preserve">₱ / month</t>
  </si>
  <si>
    <t xml:space="preserve">How it's calculated</t>
  </si>
  <si>
    <t xml:space="preserve">US$ price × exchange rate</t>
  </si>
  <si>
    <t xml:space="preserve">US$ price × exchange rate × Pro switch</t>
  </si>
  <si>
    <t xml:space="preserve">Gmail</t>
  </si>
  <si>
    <t xml:space="preserve">Free</t>
  </si>
  <si>
    <t xml:space="preserve">Design tools</t>
  </si>
  <si>
    <t xml:space="preserve">From Inputs</t>
  </si>
  <si>
    <t xml:space="preserve">Platform &amp; tools subtotal</t>
  </si>
  <si>
    <t xml:space="preserve">Total monthly overhead</t>
  </si>
  <si>
    <t xml:space="preserve">Events per month</t>
  </si>
  <si>
    <t xml:space="preserve">Platform &amp; tools per event</t>
  </si>
  <si>
    <t xml:space="preserve">Overhead spread across the month's events</t>
  </si>
  <si>
    <t xml:space="preserve">Ads per event</t>
  </si>
  <si>
    <t xml:space="preserve">Add-ons (₱)</t>
  </si>
  <si>
    <t xml:space="preserve">Add-on</t>
  </si>
  <si>
    <t xml:space="preserve">Price</t>
  </si>
  <si>
    <t xml:space="preserve">Your cost</t>
  </si>
  <si>
    <t xml:space="preserve">Profit</t>
  </si>
  <si>
    <t xml:space="preserve">Cost basis</t>
  </si>
  <si>
    <t xml:space="preserve">Rush delivery (48 hours)</t>
  </si>
  <si>
    <t xml:space="preserve">~1 hour of overtime/reshuffling; you are mostly charging for priority</t>
  </si>
  <si>
    <t xml:space="preserve">Extra revision round</t>
  </si>
  <si>
    <t xml:space="preserve">1 hour</t>
  </si>
  <si>
    <t xml:space="preserve">Custom .com domain (1 year)</t>
  </si>
  <si>
    <t xml:space="preserve">Domain registration</t>
  </si>
  <si>
    <t xml:space="preserve">Invitation card design (if you don't have one)</t>
  </si>
  <si>
    <t xml:space="preserve">3 hours</t>
  </si>
  <si>
    <t xml:space="preserve">Photo wall (Basic package)</t>
  </si>
  <si>
    <t xml:space="preserve">1 hour setup</t>
  </si>
  <si>
    <t xml:space="preserve">Email confirmations (Basic package)</t>
  </si>
  <si>
    <t xml:space="preserve">Keep site online +6 months</t>
  </si>
  <si>
    <t xml:space="preserve">30 min upkeep; hosting already covered</t>
  </si>
  <si>
    <t xml:space="preserve">Download all guest photos (ZIP)</t>
  </si>
  <si>
    <t xml:space="preserve">30 min</t>
  </si>
  <si>
    <t xml:space="preserve">QR code for printed invites</t>
  </si>
  <si>
    <t xml:space="preserve">15 min</t>
  </si>
  <si>
    <t xml:space="preserve">Instagram story teaser video of their invite</t>
  </si>
  <si>
    <t xml:space="preserve">2 hours (reuse the promo video template)</t>
  </si>
  <si>
    <t xml:space="preserve">Prices are suggestions (assumptions); hours are valued at your labour rate on Inputs.</t>
  </si>
  <si>
    <t xml:space="preserve">Break-even &amp; monthly projection</t>
  </si>
  <si>
    <t xml:space="preserve">Monthly overhead (platform + ads)</t>
  </si>
  <si>
    <t xml:space="preserve">Per event</t>
  </si>
  <si>
    <t xml:space="preserve">Total / mix</t>
  </si>
  <si>
    <t xml:space="preserve">Variable cost (labour, domain, fees, tax)</t>
  </si>
  <si>
    <t xml:space="preserve">Contribution to overhead</t>
  </si>
  <si>
    <t xml:space="preserve">Events needed to cover overhead (one package only)</t>
  </si>
  <si>
    <t xml:space="preserve">This month (from Inputs mix)</t>
  </si>
  <si>
    <t xml:space="preserve">Total</t>
  </si>
  <si>
    <t xml:space="preserve">Revenue</t>
  </si>
  <si>
    <t xml:space="preserve">Variable costs</t>
  </si>
  <si>
    <t xml:space="preserve">Contribution</t>
  </si>
  <si>
    <t xml:space="preserve">Less: monthly overhead</t>
  </si>
  <si>
    <t xml:space="preserve">Business profit this month</t>
  </si>
  <si>
    <t xml:space="preserve">Plus your labour pay</t>
  </si>
  <si>
    <t xml:space="preserve">Your total take-home this month</t>
  </si>
  <si>
    <t xml:space="preserve">Total hours worked</t>
  </si>
  <si>
    <t xml:space="preserve">Philippine market check (Oct 2026)</t>
  </si>
  <si>
    <t xml:space="preserve">Provider</t>
  </si>
  <si>
    <t xml:space="preserve">Package</t>
  </si>
  <si>
    <t xml:space="preserve">What's mentioned</t>
  </si>
  <si>
    <t xml:space="preserve">Source</t>
  </si>
  <si>
    <t xml:space="preserve">E-Invitation (Logica Technology)</t>
  </si>
  <si>
    <t xml:space="preserve">Standard</t>
  </si>
  <si>
    <t xml:space="preserve">₱800</t>
  </si>
  <si>
    <t xml:space="preserve">RSVP, mobile sharing, fast delivery</t>
  </si>
  <si>
    <t xml:space="preserve">https://e-invitation.online/</t>
  </si>
  <si>
    <t xml:space="preserve">Click-Invitation</t>
  </si>
  <si>
    <t xml:space="preserve">Starter Package 1</t>
  </si>
  <si>
    <t xml:space="preserve">₱1,998</t>
  </si>
  <si>
    <t xml:space="preserve">Wedding digital invitation with RSVP</t>
  </si>
  <si>
    <t xml:space="preserve">https://click-invitation.com/blog/affordable-wedding-digital-invitations-in-the-philippines-starter-package-1-for-only-php1-998</t>
  </si>
  <si>
    <t xml:space="preserve">Starter Package 2</t>
  </si>
  <si>
    <t xml:space="preserve">₱2,998</t>
  </si>
  <si>
    <t xml:space="preserve">RSVP tracking, online guest management</t>
  </si>
  <si>
    <t xml:space="preserve">https://click-invitation.com/blog/starter-package-2-the-complete-wedding-digital-invitation-experience-for-only-php2-998</t>
  </si>
  <si>
    <t xml:space="preserve">Specially Invited</t>
  </si>
  <si>
    <t xml:space="preserve">Essential</t>
  </si>
  <si>
    <t xml:space="preserve">from ₱2,497</t>
  </si>
  <si>
    <t xml:space="preserve">Sub-domain website invitation, live RSVP, 2–5 days</t>
  </si>
  <si>
    <t xml:space="preserve">https://www.speciallyinvited.com/</t>
  </si>
  <si>
    <t xml:space="preserve">₱3,997</t>
  </si>
  <si>
    <t xml:space="preserve">Personalised domain option</t>
  </si>
  <si>
    <t xml:space="preserve">Ultimate</t>
  </si>
  <si>
    <t xml:space="preserve">₱5,997</t>
  </si>
  <si>
    <t xml:space="preserve">Bespoke, domain-ready</t>
  </si>
  <si>
    <t xml:space="preserve">Etsy templates</t>
  </si>
  <si>
    <t xml:space="preserve">DIY template</t>
  </si>
  <si>
    <t xml:space="preserve">≈US$3–33</t>
  </si>
  <si>
    <t xml:space="preserve">Template only; you edit and host yourself</t>
  </si>
  <si>
    <t xml:space="preserve">https://www.etsy.com/market/filipino_digital_invitation</t>
  </si>
  <si>
    <t xml:space="preserve">Prices as listed in web search results in Oct 2026; check the sites for current offers. Our photo wall, email confirmations and host guest list are rarely included at the lower tiers.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</si>
</sst>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₱#,##0;&quot;(₱&quot;#,##0\);\-"/>
    <numFmt numFmtId="166" formatCode="0"/>
    <numFmt numFmtId="167" formatCode="0.0&quot; h&quot;"/>
    <numFmt numFmtId="168" formatCode="0.0%;\(0.0%\);\-"/>
    <numFmt numFmtId="169" formatCode="\₱0.00"/>
    <numFmt numFmtId="170" formatCode="&quot;US$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C3A6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C3A63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FE3F2"/>
        <bgColor rgb="FFF6EEF8"/>
      </patternFill>
    </fill>
    <fill>
      <patternFill patternType="solid">
        <fgColor rgb="FFF6EEF8"/>
        <bgColor rgb="FFEFE3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5C3A6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EF8"/>
      <rgbColor rgb="FFCCFFFF"/>
      <rgbColor rgb="FF660066"/>
      <rgbColor rgb="FFFF8080"/>
      <rgbColor rgb="FF0066CC"/>
      <rgbColor rgb="FFEFE3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3A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7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  <c r="D4" s="4" t="s">
        <v>4</v>
      </c>
      <c r="E4" s="4" t="s">
        <v>5</v>
      </c>
    </row>
    <row r="5" customFormat="false" ht="30" hidden="false" customHeight="true" outlineLevel="0" collapsed="false">
      <c r="A5" s="5" t="s">
        <v>6</v>
      </c>
      <c r="B5" s="6" t="s">
        <v>7</v>
      </c>
      <c r="C5" s="6" t="s">
        <v>8</v>
      </c>
      <c r="D5" s="6" t="s">
        <v>9</v>
      </c>
    </row>
    <row r="6" customFormat="false" ht="15" hidden="false" customHeight="false" outlineLevel="0" collapsed="false">
      <c r="A6" s="5" t="s">
        <v>10</v>
      </c>
      <c r="B6" s="7" t="n">
        <v>1999</v>
      </c>
      <c r="C6" s="7" t="n">
        <v>3499</v>
      </c>
      <c r="D6" s="7" t="n">
        <v>5499</v>
      </c>
      <c r="E6" s="2" t="s">
        <v>11</v>
      </c>
    </row>
    <row r="7" customFormat="false" ht="15" hidden="false" customHeight="false" outlineLevel="0" collapsed="false">
      <c r="A7" s="8" t="s">
        <v>12</v>
      </c>
      <c r="B7" s="9" t="n">
        <v>0</v>
      </c>
      <c r="C7" s="9" t="n">
        <v>0</v>
      </c>
      <c r="D7" s="9" t="n">
        <v>1</v>
      </c>
    </row>
    <row r="9" customFormat="false" ht="15" hidden="false" customHeight="false" outlineLevel="0" collapsed="false">
      <c r="A9" s="10" t="s">
        <v>13</v>
      </c>
      <c r="B9" s="11"/>
      <c r="C9" s="11"/>
      <c r="D9" s="11"/>
      <c r="E9" s="11"/>
    </row>
    <row r="10" customFormat="false" ht="15" hidden="false" customHeight="false" outlineLevel="0" collapsed="false">
      <c r="A10" s="8" t="s">
        <v>14</v>
      </c>
      <c r="B10" s="12" t="n">
        <v>0.5</v>
      </c>
      <c r="C10" s="12" t="n">
        <v>1</v>
      </c>
      <c r="D10" s="12" t="n">
        <v>1</v>
      </c>
      <c r="E10" s="2" t="s">
        <v>15</v>
      </c>
    </row>
    <row r="11" customFormat="false" ht="15" hidden="false" customHeight="false" outlineLevel="0" collapsed="false">
      <c r="A11" s="8" t="s">
        <v>16</v>
      </c>
      <c r="B11" s="12" t="n">
        <v>1</v>
      </c>
      <c r="C11" s="12" t="n">
        <v>3</v>
      </c>
      <c r="D11" s="12" t="n">
        <v>4.5</v>
      </c>
    </row>
    <row r="12" customFormat="false" ht="15" hidden="false" customHeight="false" outlineLevel="0" collapsed="false">
      <c r="A12" s="8" t="s">
        <v>17</v>
      </c>
      <c r="B12" s="12" t="n">
        <v>0.5</v>
      </c>
      <c r="C12" s="12" t="n">
        <v>1.5</v>
      </c>
      <c r="D12" s="12" t="n">
        <v>2.5</v>
      </c>
    </row>
    <row r="13" customFormat="false" ht="15" hidden="false" customHeight="false" outlineLevel="0" collapsed="false">
      <c r="A13" s="8" t="s">
        <v>18</v>
      </c>
      <c r="B13" s="12" t="n">
        <v>0.5</v>
      </c>
      <c r="C13" s="12" t="n">
        <v>1</v>
      </c>
      <c r="D13" s="12" t="n">
        <v>1.5</v>
      </c>
    </row>
    <row r="14" customFormat="false" ht="15" hidden="false" customHeight="false" outlineLevel="0" collapsed="false">
      <c r="A14" s="8" t="s">
        <v>19</v>
      </c>
      <c r="B14" s="12" t="n">
        <v>0.5</v>
      </c>
      <c r="C14" s="12" t="n">
        <v>0.5</v>
      </c>
      <c r="D14" s="12" t="n">
        <v>0.5</v>
      </c>
    </row>
    <row r="15" customFormat="false" ht="15" hidden="false" customHeight="false" outlineLevel="0" collapsed="false">
      <c r="A15" s="5" t="s">
        <v>20</v>
      </c>
      <c r="B15" s="13" t="n">
        <f aca="false">SUM(B10:B14)</f>
        <v>3</v>
      </c>
      <c r="C15" s="13" t="n">
        <f aca="false">SUM(C10:C14)</f>
        <v>7</v>
      </c>
      <c r="D15" s="13" t="n">
        <f aca="false">SUM(D10:D14)</f>
        <v>10</v>
      </c>
    </row>
    <row r="17" customFormat="false" ht="15" hidden="false" customHeight="false" outlineLevel="0" collapsed="false">
      <c r="A17" s="10" t="s">
        <v>21</v>
      </c>
      <c r="B17" s="11"/>
      <c r="C17" s="11"/>
      <c r="D17" s="11"/>
      <c r="E17" s="11"/>
    </row>
    <row r="18" customFormat="false" ht="15" hidden="false" customHeight="false" outlineLevel="0" collapsed="false">
      <c r="A18" s="8" t="s">
        <v>22</v>
      </c>
      <c r="B18" s="14" t="n">
        <f aca="false">B15*Inputs!$B$5</f>
        <v>750</v>
      </c>
      <c r="C18" s="14" t="n">
        <f aca="false">C15*Inputs!$B$5</f>
        <v>1750</v>
      </c>
      <c r="D18" s="14" t="n">
        <f aca="false">D15*Inputs!$B$5</f>
        <v>2500</v>
      </c>
      <c r="E18" s="2" t="s">
        <v>23</v>
      </c>
    </row>
    <row r="19" customFormat="false" ht="15" hidden="false" customHeight="false" outlineLevel="0" collapsed="false">
      <c r="A19" s="8" t="s">
        <v>24</v>
      </c>
      <c r="B19" s="14" t="n">
        <f aca="false">'Monthly Costs'!$B$13</f>
        <v>343.125</v>
      </c>
      <c r="C19" s="14" t="n">
        <f aca="false">'Monthly Costs'!$B$13</f>
        <v>343.125</v>
      </c>
      <c r="D19" s="14" t="n">
        <f aca="false">'Monthly Costs'!$B$13</f>
        <v>343.125</v>
      </c>
      <c r="E19" s="2" t="s">
        <v>25</v>
      </c>
    </row>
    <row r="20" customFormat="false" ht="15" hidden="false" customHeight="false" outlineLevel="0" collapsed="false">
      <c r="A20" s="8" t="s">
        <v>26</v>
      </c>
      <c r="B20" s="14" t="n">
        <f aca="false">'Monthly Costs'!$B$14</f>
        <v>300</v>
      </c>
      <c r="C20" s="14" t="n">
        <f aca="false">'Monthly Costs'!$B$14</f>
        <v>300</v>
      </c>
      <c r="D20" s="14" t="n">
        <f aca="false">'Monthly Costs'!$B$14</f>
        <v>300</v>
      </c>
      <c r="E20" s="2" t="s">
        <v>27</v>
      </c>
    </row>
    <row r="21" customFormat="false" ht="15" hidden="false" customHeight="false" outlineLevel="0" collapsed="false">
      <c r="A21" s="8" t="s">
        <v>28</v>
      </c>
      <c r="B21" s="14" t="n">
        <f aca="false">B7*Inputs!$B$9*Inputs!$B$4</f>
        <v>0</v>
      </c>
      <c r="C21" s="14" t="n">
        <f aca="false">C7*Inputs!$B$9*Inputs!$B$4</f>
        <v>0</v>
      </c>
      <c r="D21" s="14" t="n">
        <f aca="false">D7*Inputs!$B$9*Inputs!$B$4</f>
        <v>732</v>
      </c>
      <c r="E21" s="2" t="s">
        <v>29</v>
      </c>
    </row>
    <row r="22" customFormat="false" ht="15" hidden="false" customHeight="false" outlineLevel="0" collapsed="false">
      <c r="A22" s="8" t="s">
        <v>30</v>
      </c>
      <c r="B22" s="14" t="n">
        <f aca="false">B6*Inputs!$B$12</f>
        <v>39.98</v>
      </c>
      <c r="C22" s="14" t="n">
        <f aca="false">C6*Inputs!$B$12</f>
        <v>69.98</v>
      </c>
      <c r="D22" s="14" t="n">
        <f aca="false">D6*Inputs!$B$12</f>
        <v>109.98</v>
      </c>
      <c r="E22" s="2" t="s">
        <v>31</v>
      </c>
    </row>
    <row r="23" customFormat="false" ht="15" hidden="false" customHeight="false" outlineLevel="0" collapsed="false">
      <c r="A23" s="8" t="s">
        <v>32</v>
      </c>
      <c r="B23" s="14" t="n">
        <f aca="false">B6*Inputs!$B$13</f>
        <v>159.92</v>
      </c>
      <c r="C23" s="14" t="n">
        <f aca="false">C6*Inputs!$B$13</f>
        <v>279.92</v>
      </c>
      <c r="D23" s="14" t="n">
        <f aca="false">D6*Inputs!$B$13</f>
        <v>439.92</v>
      </c>
      <c r="E23" s="2" t="s">
        <v>33</v>
      </c>
    </row>
    <row r="24" customFormat="false" ht="15" hidden="false" customHeight="false" outlineLevel="0" collapsed="false">
      <c r="A24" s="5" t="s">
        <v>34</v>
      </c>
      <c r="B24" s="15" t="n">
        <f aca="false">SUM(B18:B23)</f>
        <v>1593.025</v>
      </c>
      <c r="C24" s="15" t="n">
        <f aca="false">SUM(C18:C23)</f>
        <v>2743.025</v>
      </c>
      <c r="D24" s="15" t="n">
        <f aca="false">SUM(D18:D23)</f>
        <v>4425.025</v>
      </c>
    </row>
    <row r="26" customFormat="false" ht="15" hidden="false" customHeight="false" outlineLevel="0" collapsed="false">
      <c r="A26" s="10" t="s">
        <v>35</v>
      </c>
      <c r="B26" s="11"/>
      <c r="C26" s="11"/>
      <c r="D26" s="11"/>
      <c r="E26" s="11"/>
    </row>
    <row r="27" customFormat="false" ht="15" hidden="false" customHeight="false" outlineLevel="0" collapsed="false">
      <c r="A27" s="16" t="s">
        <v>36</v>
      </c>
      <c r="B27" s="17" t="n">
        <f aca="false">B6-B24</f>
        <v>405.975</v>
      </c>
      <c r="C27" s="17" t="n">
        <f aca="false">C6-C24</f>
        <v>755.975</v>
      </c>
      <c r="D27" s="17" t="n">
        <f aca="false">D6-D24</f>
        <v>1073.975</v>
      </c>
      <c r="E27" s="2" t="s">
        <v>37</v>
      </c>
    </row>
    <row r="28" customFormat="false" ht="15" hidden="false" customHeight="false" outlineLevel="0" collapsed="false">
      <c r="A28" s="8" t="s">
        <v>38</v>
      </c>
      <c r="B28" s="18" t="n">
        <f aca="false">IFERROR(B27/B6,0)</f>
        <v>0.203089044522261</v>
      </c>
      <c r="C28" s="18" t="n">
        <f aca="false">IFERROR(C27/C6,0)</f>
        <v>0.216054587024864</v>
      </c>
      <c r="D28" s="18" t="n">
        <f aca="false">IFERROR(D27/D6,0)</f>
        <v>0.195303691580287</v>
      </c>
      <c r="E28" s="2"/>
    </row>
    <row r="29" customFormat="false" ht="15" hidden="false" customHeight="false" outlineLevel="0" collapsed="false">
      <c r="A29" s="16" t="s">
        <v>39</v>
      </c>
      <c r="B29" s="17" t="n">
        <f aca="false">B27+B18</f>
        <v>1155.975</v>
      </c>
      <c r="C29" s="17" t="n">
        <f aca="false">C27+C18</f>
        <v>2505.975</v>
      </c>
      <c r="D29" s="17" t="n">
        <f aca="false">D27+D18</f>
        <v>3573.975</v>
      </c>
      <c r="E29" s="2" t="s">
        <v>40</v>
      </c>
    </row>
    <row r="30" customFormat="false" ht="15" hidden="false" customHeight="false" outlineLevel="0" collapsed="false">
      <c r="A30" s="8" t="s">
        <v>41</v>
      </c>
      <c r="B30" s="19" t="n">
        <f aca="false">IFERROR(B29/B15,0)</f>
        <v>385.325</v>
      </c>
      <c r="C30" s="19" t="n">
        <f aca="false">IFERROR(C29/C15,0)</f>
        <v>357.996428571429</v>
      </c>
      <c r="D30" s="19" t="n">
        <f aca="false">IFERROR(D29/D15,0)</f>
        <v>357.3975</v>
      </c>
      <c r="E30" s="2" t="s">
        <v>42</v>
      </c>
    </row>
    <row r="31" customFormat="false" ht="15" hidden="false" customHeight="false" outlineLevel="0" collapsed="false">
      <c r="A31" s="8" t="s">
        <v>43</v>
      </c>
      <c r="B31" s="19" t="n">
        <f aca="false">B24-B18</f>
        <v>843.025</v>
      </c>
      <c r="C31" s="19" t="n">
        <f aca="false">C24-C18</f>
        <v>993.025</v>
      </c>
      <c r="D31" s="19" t="n">
        <f aca="false">D24-D18</f>
        <v>1925.025</v>
      </c>
      <c r="E31" s="2" t="s">
        <v>44</v>
      </c>
    </row>
    <row r="33" customFormat="false" ht="15" hidden="false" customHeight="false" outlineLevel="0" collapsed="false">
      <c r="A33" s="10" t="s">
        <v>45</v>
      </c>
      <c r="B33" s="11"/>
      <c r="C33" s="11"/>
      <c r="D33" s="11"/>
      <c r="E33" s="11"/>
    </row>
    <row r="34" customFormat="false" ht="15" hidden="false" customHeight="false" outlineLevel="0" collapsed="false">
      <c r="A34" s="8" t="s">
        <v>46</v>
      </c>
      <c r="B34" s="20" t="s">
        <v>47</v>
      </c>
      <c r="C34" s="20" t="s">
        <v>47</v>
      </c>
      <c r="D34" s="20" t="s">
        <v>47</v>
      </c>
    </row>
    <row r="35" customFormat="false" ht="15" hidden="false" customHeight="false" outlineLevel="0" collapsed="false">
      <c r="A35" s="8" t="s">
        <v>48</v>
      </c>
      <c r="B35" s="20" t="s">
        <v>47</v>
      </c>
      <c r="C35" s="20" t="s">
        <v>47</v>
      </c>
      <c r="D35" s="20" t="s">
        <v>47</v>
      </c>
    </row>
    <row r="36" customFormat="false" ht="15" hidden="false" customHeight="false" outlineLevel="0" collapsed="false">
      <c r="A36" s="8" t="s">
        <v>49</v>
      </c>
      <c r="B36" s="20" t="s">
        <v>47</v>
      </c>
      <c r="C36" s="20" t="s">
        <v>47</v>
      </c>
      <c r="D36" s="20" t="s">
        <v>47</v>
      </c>
    </row>
    <row r="37" customFormat="false" ht="15" hidden="false" customHeight="false" outlineLevel="0" collapsed="false">
      <c r="A37" s="8" t="s">
        <v>50</v>
      </c>
      <c r="B37" s="20" t="s">
        <v>47</v>
      </c>
      <c r="C37" s="20" t="s">
        <v>47</v>
      </c>
      <c r="D37" s="20" t="s">
        <v>47</v>
      </c>
    </row>
    <row r="38" customFormat="false" ht="15" hidden="false" customHeight="false" outlineLevel="0" collapsed="false">
      <c r="A38" s="8" t="s">
        <v>51</v>
      </c>
      <c r="B38" s="20" t="s">
        <v>47</v>
      </c>
      <c r="C38" s="20" t="s">
        <v>47</v>
      </c>
      <c r="D38" s="20" t="s">
        <v>47</v>
      </c>
    </row>
    <row r="39" customFormat="false" ht="15" hidden="false" customHeight="false" outlineLevel="0" collapsed="false">
      <c r="A39" s="8" t="s">
        <v>52</v>
      </c>
      <c r="B39" s="20" t="s">
        <v>53</v>
      </c>
      <c r="C39" s="20" t="s">
        <v>47</v>
      </c>
      <c r="D39" s="20" t="s">
        <v>47</v>
      </c>
    </row>
    <row r="40" customFormat="false" ht="15" hidden="false" customHeight="false" outlineLevel="0" collapsed="false">
      <c r="A40" s="8" t="s">
        <v>54</v>
      </c>
      <c r="B40" s="20" t="s">
        <v>53</v>
      </c>
      <c r="C40" s="20" t="s">
        <v>47</v>
      </c>
      <c r="D40" s="20" t="s">
        <v>47</v>
      </c>
    </row>
    <row r="41" customFormat="false" ht="15" hidden="false" customHeight="false" outlineLevel="0" collapsed="false">
      <c r="A41" s="8" t="s">
        <v>55</v>
      </c>
      <c r="B41" s="20" t="s">
        <v>56</v>
      </c>
      <c r="C41" s="20" t="s">
        <v>57</v>
      </c>
      <c r="D41" s="20" t="s">
        <v>57</v>
      </c>
    </row>
    <row r="42" customFormat="false" ht="15" hidden="false" customHeight="false" outlineLevel="0" collapsed="false">
      <c r="A42" s="8" t="s">
        <v>58</v>
      </c>
      <c r="B42" s="20" t="s">
        <v>53</v>
      </c>
      <c r="C42" s="20" t="s">
        <v>53</v>
      </c>
      <c r="D42" s="20" t="s">
        <v>47</v>
      </c>
    </row>
    <row r="43" customFormat="false" ht="15" hidden="false" customHeight="false" outlineLevel="0" collapsed="false">
      <c r="A43" s="8" t="s">
        <v>59</v>
      </c>
      <c r="B43" s="20" t="s">
        <v>60</v>
      </c>
      <c r="C43" s="20" t="s">
        <v>60</v>
      </c>
      <c r="D43" s="20" t="s">
        <v>61</v>
      </c>
    </row>
    <row r="44" customFormat="false" ht="26.85" hidden="false" customHeight="false" outlineLevel="0" collapsed="false">
      <c r="A44" s="8" t="s">
        <v>62</v>
      </c>
      <c r="B44" s="20" t="s">
        <v>63</v>
      </c>
      <c r="C44" s="20" t="s">
        <v>63</v>
      </c>
      <c r="D44" s="20" t="s">
        <v>64</v>
      </c>
    </row>
    <row r="45" customFormat="false" ht="15" hidden="false" customHeight="false" outlineLevel="0" collapsed="false">
      <c r="A45" s="8" t="s">
        <v>65</v>
      </c>
      <c r="B45" s="20" t="s">
        <v>66</v>
      </c>
      <c r="C45" s="20" t="s">
        <v>67</v>
      </c>
      <c r="D45" s="20" t="s">
        <v>68</v>
      </c>
    </row>
    <row r="46" customFormat="false" ht="15" hidden="false" customHeight="false" outlineLevel="0" collapsed="false">
      <c r="A46" s="8" t="s">
        <v>69</v>
      </c>
      <c r="B46" s="20" t="s">
        <v>70</v>
      </c>
      <c r="C46" s="20" t="s">
        <v>70</v>
      </c>
      <c r="D46" s="20" t="s">
        <v>71</v>
      </c>
    </row>
    <row r="47" customFormat="false" ht="26.85" hidden="false" customHeight="false" outlineLevel="0" collapsed="false">
      <c r="A47" s="8" t="s">
        <v>72</v>
      </c>
      <c r="B47" s="20" t="s">
        <v>73</v>
      </c>
      <c r="C47" s="20" t="s">
        <v>74</v>
      </c>
      <c r="D47" s="2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3" t="s">
        <v>78</v>
      </c>
      <c r="B3" s="4" t="s">
        <v>79</v>
      </c>
      <c r="C3" s="4" t="s">
        <v>80</v>
      </c>
      <c r="D3" s="4" t="s">
        <v>81</v>
      </c>
    </row>
    <row r="4" customFormat="false" ht="30" hidden="false" customHeight="true" outlineLevel="0" collapsed="false">
      <c r="A4" s="8" t="s">
        <v>82</v>
      </c>
      <c r="B4" s="21" t="n">
        <v>61</v>
      </c>
      <c r="C4" s="8" t="s">
        <v>83</v>
      </c>
      <c r="D4" s="22" t="s">
        <v>84</v>
      </c>
    </row>
    <row r="5" customFormat="false" ht="30" hidden="false" customHeight="true" outlineLevel="0" collapsed="false">
      <c r="A5" s="8" t="s">
        <v>85</v>
      </c>
      <c r="B5" s="23" t="n">
        <v>250</v>
      </c>
      <c r="C5" s="8" t="s">
        <v>86</v>
      </c>
      <c r="D5" s="22" t="s">
        <v>87</v>
      </c>
    </row>
    <row r="6" customFormat="false" ht="30" hidden="false" customHeight="true" outlineLevel="0" collapsed="false">
      <c r="A6" s="8" t="s">
        <v>88</v>
      </c>
      <c r="B6" s="24" t="n">
        <v>20</v>
      </c>
      <c r="C6" s="8" t="s">
        <v>89</v>
      </c>
      <c r="D6" s="22" t="s">
        <v>90</v>
      </c>
    </row>
    <row r="7" customFormat="false" ht="30" hidden="false" customHeight="true" outlineLevel="0" collapsed="false">
      <c r="A7" s="8" t="s">
        <v>91</v>
      </c>
      <c r="B7" s="24" t="n">
        <v>25</v>
      </c>
      <c r="C7" s="8" t="s">
        <v>89</v>
      </c>
      <c r="D7" s="22" t="s">
        <v>92</v>
      </c>
    </row>
    <row r="8" customFormat="false" ht="30" hidden="false" customHeight="true" outlineLevel="0" collapsed="false">
      <c r="A8" s="8" t="s">
        <v>93</v>
      </c>
      <c r="B8" s="25" t="n">
        <v>1</v>
      </c>
      <c r="C8" s="8" t="s">
        <v>94</v>
      </c>
      <c r="D8" s="22" t="s">
        <v>95</v>
      </c>
    </row>
    <row r="9" customFormat="false" ht="30" hidden="false" customHeight="true" outlineLevel="0" collapsed="false">
      <c r="A9" s="8" t="s">
        <v>96</v>
      </c>
      <c r="B9" s="24" t="n">
        <v>12</v>
      </c>
      <c r="C9" s="8" t="s">
        <v>97</v>
      </c>
      <c r="D9" s="22" t="s">
        <v>98</v>
      </c>
    </row>
    <row r="10" customFormat="false" ht="30" hidden="false" customHeight="true" outlineLevel="0" collapsed="false">
      <c r="A10" s="8" t="s">
        <v>99</v>
      </c>
      <c r="B10" s="26" t="n">
        <v>0</v>
      </c>
      <c r="C10" s="8" t="s">
        <v>100</v>
      </c>
      <c r="D10" s="22" t="s">
        <v>101</v>
      </c>
    </row>
    <row r="11" customFormat="false" ht="30" hidden="false" customHeight="true" outlineLevel="0" collapsed="false">
      <c r="A11" s="8" t="s">
        <v>102</v>
      </c>
      <c r="B11" s="23" t="n">
        <v>2400</v>
      </c>
      <c r="C11" s="8" t="s">
        <v>100</v>
      </c>
      <c r="D11" s="22" t="s">
        <v>103</v>
      </c>
    </row>
    <row r="12" customFormat="false" ht="30" hidden="false" customHeight="true" outlineLevel="0" collapsed="false">
      <c r="A12" s="8" t="s">
        <v>30</v>
      </c>
      <c r="B12" s="27" t="n">
        <v>0.02</v>
      </c>
      <c r="C12" s="8" t="s">
        <v>104</v>
      </c>
      <c r="D12" s="22" t="s">
        <v>105</v>
      </c>
    </row>
    <row r="13" customFormat="false" ht="30" hidden="false" customHeight="true" outlineLevel="0" collapsed="false">
      <c r="A13" s="8" t="s">
        <v>106</v>
      </c>
      <c r="B13" s="27" t="n">
        <v>0.08</v>
      </c>
      <c r="C13" s="8" t="s">
        <v>104</v>
      </c>
      <c r="D13" s="22" t="s">
        <v>107</v>
      </c>
    </row>
    <row r="14" customFormat="false" ht="30" hidden="false" customHeight="true" outlineLevel="0" collapsed="false">
      <c r="A14" s="8" t="s">
        <v>108</v>
      </c>
      <c r="B14" s="26" t="n">
        <v>0</v>
      </c>
      <c r="C14" s="8" t="s">
        <v>100</v>
      </c>
      <c r="D14" s="22" t="s">
        <v>109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3" t="s">
        <v>110</v>
      </c>
      <c r="B16" s="4" t="s">
        <v>111</v>
      </c>
      <c r="C16" s="4"/>
      <c r="D16" s="4" t="s">
        <v>5</v>
      </c>
    </row>
    <row r="17" customFormat="false" ht="18" hidden="false" customHeight="true" outlineLevel="0" collapsed="false">
      <c r="A17" s="8" t="s">
        <v>2</v>
      </c>
      <c r="B17" s="25" t="n">
        <v>3</v>
      </c>
      <c r="D17" s="2" t="s">
        <v>112</v>
      </c>
    </row>
    <row r="18" customFormat="false" ht="18" hidden="false" customHeight="true" outlineLevel="0" collapsed="false">
      <c r="A18" s="8" t="s">
        <v>3</v>
      </c>
      <c r="B18" s="25" t="n">
        <v>4</v>
      </c>
    </row>
    <row r="19" customFormat="false" ht="18" hidden="false" customHeight="true" outlineLevel="0" collapsed="false">
      <c r="A19" s="8" t="s">
        <v>4</v>
      </c>
      <c r="B19" s="25" t="n">
        <v>1</v>
      </c>
    </row>
    <row r="20" customFormat="false" ht="18" hidden="false" customHeight="true" outlineLevel="0" collapsed="false">
      <c r="A20" s="5" t="s">
        <v>113</v>
      </c>
      <c r="B20" s="28" t="n">
        <f aca="false">SUM(B17:B19)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114</v>
      </c>
    </row>
    <row r="3" customFormat="false" ht="15" hidden="false" customHeight="false" outlineLevel="0" collapsed="false">
      <c r="A3" s="3" t="s">
        <v>115</v>
      </c>
      <c r="B3" s="4" t="s">
        <v>116</v>
      </c>
      <c r="C3" s="4" t="s">
        <v>117</v>
      </c>
    </row>
    <row r="4" customFormat="false" ht="15" hidden="false" customHeight="false" outlineLevel="0" collapsed="false">
      <c r="A4" s="8" t="s">
        <v>88</v>
      </c>
      <c r="B4" s="14" t="n">
        <f aca="false">Inputs!B6*Inputs!B4</f>
        <v>1220</v>
      </c>
      <c r="C4" s="2" t="s">
        <v>118</v>
      </c>
    </row>
    <row r="5" customFormat="false" ht="15" hidden="false" customHeight="false" outlineLevel="0" collapsed="false">
      <c r="A5" s="8" t="s">
        <v>91</v>
      </c>
      <c r="B5" s="14" t="n">
        <f aca="false">Inputs!B7*Inputs!B4*Inputs!B8</f>
        <v>1525</v>
      </c>
      <c r="C5" s="2" t="s">
        <v>119</v>
      </c>
    </row>
    <row r="6" customFormat="false" ht="15" hidden="false" customHeight="false" outlineLevel="0" collapsed="false">
      <c r="A6" s="8" t="s">
        <v>120</v>
      </c>
      <c r="B6" s="14" t="n">
        <f aca="false">Inputs!B14</f>
        <v>0</v>
      </c>
      <c r="C6" s="2" t="s">
        <v>121</v>
      </c>
    </row>
    <row r="7" customFormat="false" ht="15" hidden="false" customHeight="false" outlineLevel="0" collapsed="false">
      <c r="A7" s="8" t="s">
        <v>122</v>
      </c>
      <c r="B7" s="14" t="n">
        <f aca="false">Inputs!B10</f>
        <v>0</v>
      </c>
      <c r="C7" s="2" t="s">
        <v>123</v>
      </c>
    </row>
    <row r="8" customFormat="false" ht="15" hidden="false" customHeight="false" outlineLevel="0" collapsed="false">
      <c r="A8" s="5" t="s">
        <v>124</v>
      </c>
      <c r="B8" s="29" t="n">
        <f aca="false">SUM(B4:B7)</f>
        <v>2745</v>
      </c>
    </row>
    <row r="9" customFormat="false" ht="15" hidden="false" customHeight="false" outlineLevel="0" collapsed="false">
      <c r="A9" s="8" t="s">
        <v>102</v>
      </c>
      <c r="B9" s="14" t="n">
        <f aca="false">Inputs!B11</f>
        <v>2400</v>
      </c>
    </row>
    <row r="10" customFormat="false" ht="15" hidden="false" customHeight="false" outlineLevel="0" collapsed="false">
      <c r="A10" s="30" t="s">
        <v>125</v>
      </c>
      <c r="B10" s="31" t="n">
        <f aca="false">B8+B9</f>
        <v>5145</v>
      </c>
    </row>
    <row r="12" customFormat="false" ht="15" hidden="false" customHeight="false" outlineLevel="0" collapsed="false">
      <c r="A12" s="8" t="s">
        <v>126</v>
      </c>
      <c r="B12" s="32" t="n">
        <f aca="false">Inputs!B20</f>
        <v>8</v>
      </c>
    </row>
    <row r="13" customFormat="false" ht="15" hidden="false" customHeight="false" outlineLevel="0" collapsed="false">
      <c r="A13" s="8" t="s">
        <v>127</v>
      </c>
      <c r="B13" s="19" t="n">
        <f aca="false">IFERROR(B8/B12,0)</f>
        <v>343.125</v>
      </c>
      <c r="C13" s="2" t="s">
        <v>128</v>
      </c>
    </row>
    <row r="14" customFormat="false" ht="15" hidden="false" customHeight="false" outlineLevel="0" collapsed="false">
      <c r="A14" s="8" t="s">
        <v>129</v>
      </c>
      <c r="B14" s="19" t="n">
        <f aca="false">IFERROR(B9/B12,0)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130</v>
      </c>
    </row>
    <row r="3" customFormat="false" ht="15" hidden="false" customHeight="false" outlineLevel="0" collapsed="false">
      <c r="A3" s="3" t="s">
        <v>131</v>
      </c>
      <c r="B3" s="4" t="s">
        <v>132</v>
      </c>
      <c r="C3" s="4" t="s">
        <v>133</v>
      </c>
      <c r="D3" s="4" t="s">
        <v>134</v>
      </c>
      <c r="E3" s="4" t="s">
        <v>135</v>
      </c>
    </row>
    <row r="4" customFormat="false" ht="15" hidden="false" customHeight="false" outlineLevel="0" collapsed="false">
      <c r="A4" s="8" t="s">
        <v>136</v>
      </c>
      <c r="B4" s="26" t="n">
        <v>800</v>
      </c>
      <c r="C4" s="14" t="n">
        <f aca="false">1*Inputs!$B$5</f>
        <v>250</v>
      </c>
      <c r="D4" s="19" t="n">
        <f aca="false">B4-C4</f>
        <v>550</v>
      </c>
      <c r="E4" s="2" t="s">
        <v>137</v>
      </c>
    </row>
    <row r="5" customFormat="false" ht="15" hidden="false" customHeight="false" outlineLevel="0" collapsed="false">
      <c r="A5" s="8" t="s">
        <v>138</v>
      </c>
      <c r="B5" s="26" t="n">
        <v>400</v>
      </c>
      <c r="C5" s="14" t="n">
        <f aca="false">1*Inputs!$B$5</f>
        <v>250</v>
      </c>
      <c r="D5" s="19" t="n">
        <f aca="false">B5-C5</f>
        <v>150</v>
      </c>
      <c r="E5" s="2" t="s">
        <v>139</v>
      </c>
    </row>
    <row r="6" customFormat="false" ht="15" hidden="false" customHeight="false" outlineLevel="0" collapsed="false">
      <c r="A6" s="8" t="s">
        <v>140</v>
      </c>
      <c r="B6" s="26" t="n">
        <v>1000</v>
      </c>
      <c r="C6" s="14" t="n">
        <f aca="false">Inputs!$B$9*Inputs!$B$4</f>
        <v>732</v>
      </c>
      <c r="D6" s="19" t="n">
        <f aca="false">B6-C6</f>
        <v>268</v>
      </c>
      <c r="E6" s="2" t="s">
        <v>141</v>
      </c>
    </row>
    <row r="7" customFormat="false" ht="15" hidden="false" customHeight="false" outlineLevel="0" collapsed="false">
      <c r="A7" s="8" t="s">
        <v>142</v>
      </c>
      <c r="B7" s="26" t="n">
        <v>1200</v>
      </c>
      <c r="C7" s="14" t="n">
        <f aca="false">3*Inputs!$B$5</f>
        <v>750</v>
      </c>
      <c r="D7" s="19" t="n">
        <f aca="false">B7-C7</f>
        <v>450</v>
      </c>
      <c r="E7" s="2" t="s">
        <v>143</v>
      </c>
    </row>
    <row r="8" customFormat="false" ht="15" hidden="false" customHeight="false" outlineLevel="0" collapsed="false">
      <c r="A8" s="8" t="s">
        <v>144</v>
      </c>
      <c r="B8" s="26" t="n">
        <v>700</v>
      </c>
      <c r="C8" s="14" t="n">
        <f aca="false">1*Inputs!$B$5</f>
        <v>250</v>
      </c>
      <c r="D8" s="19" t="n">
        <f aca="false">B8-C8</f>
        <v>450</v>
      </c>
      <c r="E8" s="2" t="s">
        <v>145</v>
      </c>
    </row>
    <row r="9" customFormat="false" ht="15" hidden="false" customHeight="false" outlineLevel="0" collapsed="false">
      <c r="A9" s="8" t="s">
        <v>146</v>
      </c>
      <c r="B9" s="26" t="n">
        <v>500</v>
      </c>
      <c r="C9" s="14" t="n">
        <f aca="false">1*Inputs!$B$5</f>
        <v>250</v>
      </c>
      <c r="D9" s="19" t="n">
        <f aca="false">B9-C9</f>
        <v>250</v>
      </c>
      <c r="E9" s="2" t="s">
        <v>145</v>
      </c>
    </row>
    <row r="10" customFormat="false" ht="15" hidden="false" customHeight="false" outlineLevel="0" collapsed="false">
      <c r="A10" s="8" t="s">
        <v>147</v>
      </c>
      <c r="B10" s="26" t="n">
        <v>500</v>
      </c>
      <c r="C10" s="14" t="n">
        <f aca="false">0.5*Inputs!$B$5</f>
        <v>125</v>
      </c>
      <c r="D10" s="19" t="n">
        <f aca="false">B10-C10</f>
        <v>375</v>
      </c>
      <c r="E10" s="2" t="s">
        <v>148</v>
      </c>
    </row>
    <row r="11" customFormat="false" ht="15" hidden="false" customHeight="false" outlineLevel="0" collapsed="false">
      <c r="A11" s="8" t="s">
        <v>149</v>
      </c>
      <c r="B11" s="26" t="n">
        <v>300</v>
      </c>
      <c r="C11" s="14" t="n">
        <f aca="false">0.5*Inputs!$B$5</f>
        <v>125</v>
      </c>
      <c r="D11" s="19" t="n">
        <f aca="false">B11-C11</f>
        <v>175</v>
      </c>
      <c r="E11" s="2" t="s">
        <v>150</v>
      </c>
    </row>
    <row r="12" customFormat="false" ht="15" hidden="false" customHeight="false" outlineLevel="0" collapsed="false">
      <c r="A12" s="8" t="s">
        <v>151</v>
      </c>
      <c r="B12" s="26" t="n">
        <v>150</v>
      </c>
      <c r="C12" s="14" t="n">
        <f aca="false">0.25*Inputs!$B$5</f>
        <v>62.5</v>
      </c>
      <c r="D12" s="19" t="n">
        <f aca="false">B12-C12</f>
        <v>87.5</v>
      </c>
      <c r="E12" s="2" t="s">
        <v>152</v>
      </c>
    </row>
    <row r="13" customFormat="false" ht="15" hidden="false" customHeight="false" outlineLevel="0" collapsed="false">
      <c r="A13" s="8" t="s">
        <v>153</v>
      </c>
      <c r="B13" s="26" t="n">
        <v>800</v>
      </c>
      <c r="C13" s="14" t="n">
        <f aca="false">2*Inputs!$B$5</f>
        <v>500</v>
      </c>
      <c r="D13" s="19" t="n">
        <f aca="false">B13-C13</f>
        <v>300</v>
      </c>
      <c r="E13" s="2" t="s">
        <v>154</v>
      </c>
    </row>
    <row r="15" customFormat="false" ht="15" hidden="false" customHeight="false" outlineLevel="0" collapsed="false">
      <c r="A15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7"/>
  </cols>
  <sheetData>
    <row r="1" customFormat="false" ht="17.35" hidden="false" customHeight="false" outlineLevel="0" collapsed="false">
      <c r="A1" s="1" t="s">
        <v>156</v>
      </c>
    </row>
    <row r="3" customFormat="false" ht="15" hidden="false" customHeight="false" outlineLevel="0" collapsed="false">
      <c r="A3" s="8" t="s">
        <v>157</v>
      </c>
      <c r="B3" s="33" t="n">
        <f aca="false">'Monthly Costs'!B10</f>
        <v>5145</v>
      </c>
    </row>
    <row r="5" customFormat="false" ht="15" hidden="false" customHeight="false" outlineLevel="0" collapsed="false">
      <c r="A5" s="3" t="s">
        <v>158</v>
      </c>
      <c r="B5" s="4" t="s">
        <v>2</v>
      </c>
      <c r="C5" s="4" t="s">
        <v>3</v>
      </c>
      <c r="D5" s="4" t="s">
        <v>4</v>
      </c>
      <c r="E5" s="4" t="s">
        <v>159</v>
      </c>
    </row>
    <row r="6" customFormat="false" ht="15" hidden="false" customHeight="false" outlineLevel="0" collapsed="false">
      <c r="A6" s="8" t="s">
        <v>132</v>
      </c>
      <c r="B6" s="14" t="n">
        <f aca="false">Packages!B6</f>
        <v>1999</v>
      </c>
      <c r="C6" s="14" t="n">
        <f aca="false">Packages!C6</f>
        <v>3499</v>
      </c>
      <c r="D6" s="14" t="n">
        <f aca="false">Packages!D6</f>
        <v>5499</v>
      </c>
    </row>
    <row r="7" customFormat="false" ht="15" hidden="false" customHeight="false" outlineLevel="0" collapsed="false">
      <c r="A7" s="8" t="s">
        <v>160</v>
      </c>
      <c r="B7" s="14" t="n">
        <f aca="false">Packages!B18+Packages!B21+Packages!B22+Packages!B23</f>
        <v>949.9</v>
      </c>
      <c r="C7" s="14" t="n">
        <f aca="false">Packages!C18+Packages!C21+Packages!C22+Packages!C23</f>
        <v>2099.9</v>
      </c>
      <c r="D7" s="14" t="n">
        <f aca="false">Packages!D18+Packages!D21+Packages!D22+Packages!D23</f>
        <v>3781.9</v>
      </c>
    </row>
    <row r="8" customFormat="false" ht="15" hidden="false" customHeight="false" outlineLevel="0" collapsed="false">
      <c r="A8" s="8" t="s">
        <v>161</v>
      </c>
      <c r="B8" s="19" t="n">
        <f aca="false">B6-B7</f>
        <v>1049.1</v>
      </c>
      <c r="C8" s="19" t="n">
        <f aca="false">C6-C7</f>
        <v>1399.1</v>
      </c>
      <c r="D8" s="19" t="n">
        <f aca="false">D6-D7</f>
        <v>1717.1</v>
      </c>
    </row>
    <row r="9" customFormat="false" ht="15" hidden="false" customHeight="false" outlineLevel="0" collapsed="false">
      <c r="A9" s="5" t="s">
        <v>162</v>
      </c>
      <c r="B9" s="28" t="n">
        <f aca="false">IFERROR(ROUNDUP($B$3/B8,0),0)</f>
        <v>5</v>
      </c>
      <c r="C9" s="28" t="n">
        <f aca="false">IFERROR(ROUNDUP($B$3/C8,0),0)</f>
        <v>4</v>
      </c>
      <c r="D9" s="28" t="n">
        <f aca="false">IFERROR(ROUNDUP($B$3/D8,0),0)</f>
        <v>3</v>
      </c>
    </row>
    <row r="11" customFormat="false" ht="15" hidden="false" customHeight="false" outlineLevel="0" collapsed="false">
      <c r="A11" s="3" t="s">
        <v>163</v>
      </c>
      <c r="B11" s="4" t="s">
        <v>2</v>
      </c>
      <c r="C11" s="4" t="s">
        <v>3</v>
      </c>
      <c r="D11" s="4" t="s">
        <v>4</v>
      </c>
      <c r="E11" s="4" t="s">
        <v>164</v>
      </c>
    </row>
    <row r="12" customFormat="false" ht="15" hidden="false" customHeight="false" outlineLevel="0" collapsed="false">
      <c r="A12" s="8" t="s">
        <v>111</v>
      </c>
      <c r="B12" s="32" t="n">
        <f aca="false">Inputs!B17</f>
        <v>3</v>
      </c>
      <c r="C12" s="32" t="n">
        <f aca="false">Inputs!B18</f>
        <v>4</v>
      </c>
      <c r="D12" s="32" t="n">
        <f aca="false">Inputs!B19</f>
        <v>1</v>
      </c>
      <c r="E12" s="28" t="n">
        <f aca="false">SUM(B12:D12)</f>
        <v>8</v>
      </c>
    </row>
    <row r="13" customFormat="false" ht="15" hidden="false" customHeight="false" outlineLevel="0" collapsed="false">
      <c r="A13" s="8" t="s">
        <v>165</v>
      </c>
      <c r="B13" s="19" t="n">
        <f aca="false">B6*B12</f>
        <v>5997</v>
      </c>
      <c r="C13" s="19" t="n">
        <f aca="false">C6*C12</f>
        <v>13996</v>
      </c>
      <c r="D13" s="19" t="n">
        <f aca="false">D6*D12</f>
        <v>5499</v>
      </c>
      <c r="E13" s="29" t="n">
        <f aca="false">SUM(B13:D13)</f>
        <v>25492</v>
      </c>
    </row>
    <row r="14" customFormat="false" ht="15" hidden="false" customHeight="false" outlineLevel="0" collapsed="false">
      <c r="A14" s="8" t="s">
        <v>166</v>
      </c>
      <c r="B14" s="19" t="n">
        <f aca="false">B7*B12</f>
        <v>2849.7</v>
      </c>
      <c r="C14" s="19" t="n">
        <f aca="false">C7*C12</f>
        <v>8399.6</v>
      </c>
      <c r="D14" s="19" t="n">
        <f aca="false">D7*D12</f>
        <v>3781.9</v>
      </c>
      <c r="E14" s="29" t="n">
        <f aca="false">SUM(B14:D14)</f>
        <v>15031.2</v>
      </c>
    </row>
    <row r="15" customFormat="false" ht="15" hidden="false" customHeight="false" outlineLevel="0" collapsed="false">
      <c r="A15" s="8" t="s">
        <v>167</v>
      </c>
      <c r="B15" s="19" t="n">
        <f aca="false">B13-B14</f>
        <v>3147.3</v>
      </c>
      <c r="C15" s="19" t="n">
        <f aca="false">C13-C14</f>
        <v>5596.4</v>
      </c>
      <c r="D15" s="19" t="n">
        <f aca="false">D13-D14</f>
        <v>1717.1</v>
      </c>
      <c r="E15" s="29" t="n">
        <f aca="false">SUM(B15:D15)</f>
        <v>10460.8</v>
      </c>
    </row>
    <row r="16" customFormat="false" ht="15" hidden="false" customHeight="false" outlineLevel="0" collapsed="false">
      <c r="A16" s="8" t="s">
        <v>168</v>
      </c>
      <c r="E16" s="19" t="n">
        <f aca="false">-B3</f>
        <v>-5145</v>
      </c>
    </row>
    <row r="17" customFormat="false" ht="15" hidden="false" customHeight="false" outlineLevel="0" collapsed="false">
      <c r="A17" s="16" t="s">
        <v>169</v>
      </c>
      <c r="E17" s="17" t="n">
        <f aca="false">E15+E16</f>
        <v>5315.8</v>
      </c>
    </row>
    <row r="18" customFormat="false" ht="15" hidden="false" customHeight="false" outlineLevel="0" collapsed="false">
      <c r="A18" s="8" t="s">
        <v>170</v>
      </c>
      <c r="E18" s="14" t="n">
        <f aca="false">SUMPRODUCT(Packages!B18:D18,B12:D12)</f>
        <v>11750</v>
      </c>
    </row>
    <row r="19" customFormat="false" ht="15" hidden="false" customHeight="false" outlineLevel="0" collapsed="false">
      <c r="A19" s="16" t="s">
        <v>171</v>
      </c>
      <c r="E19" s="17" t="n">
        <f aca="false">E17+E18</f>
        <v>17065.8</v>
      </c>
    </row>
    <row r="20" customFormat="false" ht="15" hidden="false" customHeight="false" outlineLevel="0" collapsed="false">
      <c r="A20" s="8" t="s">
        <v>172</v>
      </c>
      <c r="E20" s="34" t="n">
        <f aca="false">SUMPRODUCT(Packages!B15:D15,B12:D12)</f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173</v>
      </c>
    </row>
    <row r="3" customFormat="false" ht="15" hidden="false" customHeight="false" outlineLevel="0" collapsed="false">
      <c r="A3" s="3" t="s">
        <v>174</v>
      </c>
      <c r="B3" s="4" t="s">
        <v>175</v>
      </c>
      <c r="C3" s="4" t="s">
        <v>132</v>
      </c>
      <c r="D3" s="4" t="s">
        <v>176</v>
      </c>
      <c r="E3" s="4" t="s">
        <v>177</v>
      </c>
    </row>
    <row r="4" customFormat="false" ht="15" hidden="false" customHeight="false" outlineLevel="0" collapsed="false">
      <c r="A4" s="8" t="s">
        <v>178</v>
      </c>
      <c r="B4" s="8" t="s">
        <v>179</v>
      </c>
      <c r="C4" s="8" t="s">
        <v>180</v>
      </c>
      <c r="D4" s="8" t="s">
        <v>181</v>
      </c>
      <c r="E4" s="2" t="s">
        <v>182</v>
      </c>
    </row>
    <row r="5" customFormat="false" ht="15" hidden="false" customHeight="false" outlineLevel="0" collapsed="false">
      <c r="A5" s="8" t="s">
        <v>183</v>
      </c>
      <c r="B5" s="8" t="s">
        <v>184</v>
      </c>
      <c r="C5" s="8" t="s">
        <v>185</v>
      </c>
      <c r="D5" s="8" t="s">
        <v>186</v>
      </c>
      <c r="E5" s="2" t="s">
        <v>187</v>
      </c>
    </row>
    <row r="6" customFormat="false" ht="15" hidden="false" customHeight="false" outlineLevel="0" collapsed="false">
      <c r="A6" s="8" t="s">
        <v>183</v>
      </c>
      <c r="B6" s="8" t="s">
        <v>188</v>
      </c>
      <c r="C6" s="8" t="s">
        <v>189</v>
      </c>
      <c r="D6" s="8" t="s">
        <v>190</v>
      </c>
      <c r="E6" s="2" t="s">
        <v>191</v>
      </c>
    </row>
    <row r="7" customFormat="false" ht="15" hidden="false" customHeight="false" outlineLevel="0" collapsed="false">
      <c r="A7" s="8" t="s">
        <v>192</v>
      </c>
      <c r="B7" s="8" t="s">
        <v>193</v>
      </c>
      <c r="C7" s="8" t="s">
        <v>194</v>
      </c>
      <c r="D7" s="8" t="s">
        <v>195</v>
      </c>
      <c r="E7" s="2" t="s">
        <v>196</v>
      </c>
    </row>
    <row r="8" customFormat="false" ht="15" hidden="false" customHeight="false" outlineLevel="0" collapsed="false">
      <c r="A8" s="8" t="s">
        <v>192</v>
      </c>
      <c r="B8" s="8" t="s">
        <v>4</v>
      </c>
      <c r="C8" s="8" t="s">
        <v>197</v>
      </c>
      <c r="D8" s="8" t="s">
        <v>198</v>
      </c>
      <c r="E8" s="2" t="s">
        <v>196</v>
      </c>
    </row>
    <row r="9" customFormat="false" ht="15" hidden="false" customHeight="false" outlineLevel="0" collapsed="false">
      <c r="A9" s="8" t="s">
        <v>192</v>
      </c>
      <c r="B9" s="8" t="s">
        <v>199</v>
      </c>
      <c r="C9" s="8" t="s">
        <v>200</v>
      </c>
      <c r="D9" s="8" t="s">
        <v>201</v>
      </c>
      <c r="E9" s="2" t="s">
        <v>196</v>
      </c>
    </row>
    <row r="10" customFormat="false" ht="15" hidden="false" customHeight="false" outlineLevel="0" collapsed="false">
      <c r="A10" s="8" t="s">
        <v>202</v>
      </c>
      <c r="B10" s="8" t="s">
        <v>203</v>
      </c>
      <c r="C10" s="8" t="s">
        <v>204</v>
      </c>
      <c r="D10" s="8" t="s">
        <v>205</v>
      </c>
      <c r="E10" s="2" t="s">
        <v>206</v>
      </c>
    </row>
    <row r="12" customFormat="false" ht="15" hidden="false" customHeight="false" outlineLevel="0" collapsed="false">
      <c r="A12" s="2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2026-10-06T20:34:24Z</dcterms:created>
  <dc:creator>openpyxl</dc:creator>
  <dc:description/>
  <dc:language>en-US</dc:language>
  <cp:lastModifiedBy/>
  <dcterms:modified xsi:type="dcterms:W3CDTF">2026-10-06T20:34:24Z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